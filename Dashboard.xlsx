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8\"/>
    </mc:Choice>
  </mc:AlternateContent>
  <xr:revisionPtr revIDLastSave="0" documentId="13_ncr:1_{C08F813D-0EC1-43FC-A7ED-188A5B34319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Student Data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6" i="2" l="1"/>
  <c r="I46" i="2"/>
  <c r="F46" i="2"/>
  <c r="H46" i="2" s="1"/>
  <c r="J46" i="2" s="1"/>
  <c r="R45" i="2"/>
  <c r="I45" i="2"/>
  <c r="F45" i="2"/>
  <c r="H45" i="2" s="1"/>
  <c r="J45" i="2" s="1"/>
  <c r="R44" i="2"/>
  <c r="I44" i="2"/>
  <c r="F44" i="2"/>
  <c r="H44" i="2" s="1"/>
  <c r="J44" i="2" s="1"/>
  <c r="R43" i="2"/>
  <c r="I43" i="2"/>
  <c r="F43" i="2"/>
  <c r="H43" i="2" s="1"/>
  <c r="J43" i="2" s="1"/>
  <c r="R42" i="2"/>
  <c r="I42" i="2"/>
  <c r="F42" i="2"/>
  <c r="H42" i="2" s="1"/>
  <c r="J42" i="2" s="1"/>
  <c r="R41" i="2"/>
  <c r="I41" i="2"/>
  <c r="F41" i="2"/>
  <c r="H41" i="2" s="1"/>
  <c r="J41" i="2" s="1"/>
  <c r="R40" i="2"/>
  <c r="I40" i="2"/>
  <c r="F40" i="2"/>
  <c r="H40" i="2" s="1"/>
  <c r="J40" i="2" s="1"/>
  <c r="R39" i="2"/>
  <c r="I39" i="2"/>
  <c r="F39" i="2"/>
  <c r="H39" i="2" s="1"/>
  <c r="J39" i="2" s="1"/>
  <c r="R38" i="2"/>
  <c r="I38" i="2"/>
  <c r="F38" i="2"/>
  <c r="H38" i="2" s="1"/>
  <c r="J38" i="2" s="1"/>
  <c r="R37" i="2"/>
  <c r="I37" i="2"/>
  <c r="F37" i="2"/>
  <c r="H37" i="2" s="1"/>
  <c r="J37" i="2" s="1"/>
  <c r="R36" i="2"/>
  <c r="I36" i="2"/>
  <c r="F36" i="2"/>
  <c r="H36" i="2" s="1"/>
  <c r="J36" i="2" s="1"/>
  <c r="R35" i="2"/>
  <c r="I35" i="2"/>
  <c r="F35" i="2"/>
  <c r="H35" i="2" s="1"/>
  <c r="J35" i="2" s="1"/>
  <c r="R34" i="2"/>
  <c r="I34" i="2"/>
  <c r="F34" i="2"/>
  <c r="H34" i="2" s="1"/>
  <c r="J34" i="2" s="1"/>
  <c r="R33" i="2"/>
  <c r="I33" i="2"/>
  <c r="F33" i="2"/>
  <c r="H33" i="2" s="1"/>
  <c r="J33" i="2" s="1"/>
  <c r="R32" i="2"/>
  <c r="I32" i="2"/>
  <c r="F32" i="2"/>
  <c r="H32" i="2" s="1"/>
  <c r="J32" i="2" s="1"/>
  <c r="R31" i="2"/>
  <c r="I31" i="2"/>
  <c r="F31" i="2"/>
  <c r="H31" i="2" s="1"/>
  <c r="J31" i="2" s="1"/>
  <c r="R30" i="2"/>
  <c r="I30" i="2"/>
  <c r="F30" i="2"/>
  <c r="H30" i="2" s="1"/>
  <c r="J30" i="2" s="1"/>
  <c r="R29" i="2"/>
  <c r="I29" i="2"/>
  <c r="F29" i="2"/>
  <c r="H29" i="2" s="1"/>
  <c r="J29" i="2" s="1"/>
  <c r="R28" i="2"/>
  <c r="I28" i="2"/>
  <c r="F28" i="2"/>
  <c r="H28" i="2" s="1"/>
  <c r="J28" i="2" s="1"/>
  <c r="R27" i="2"/>
  <c r="I27" i="2"/>
  <c r="F27" i="2"/>
  <c r="H27" i="2" s="1"/>
  <c r="J27" i="2" s="1"/>
  <c r="R26" i="2"/>
  <c r="I26" i="2"/>
  <c r="F26" i="2"/>
  <c r="H26" i="2" s="1"/>
  <c r="J26" i="2" s="1"/>
  <c r="R25" i="2"/>
  <c r="I25" i="2"/>
  <c r="H25" i="2"/>
  <c r="J25" i="2" s="1"/>
  <c r="F25" i="2"/>
  <c r="R24" i="2"/>
  <c r="I24" i="2"/>
  <c r="F24" i="2"/>
  <c r="H24" i="2" s="1"/>
  <c r="J24" i="2" s="1"/>
  <c r="R23" i="2"/>
  <c r="I23" i="2"/>
  <c r="F23" i="2"/>
  <c r="H23" i="2" s="1"/>
  <c r="J23" i="2" s="1"/>
  <c r="R22" i="2"/>
  <c r="I22" i="2"/>
  <c r="F22" i="2"/>
  <c r="H22" i="2" s="1"/>
  <c r="J22" i="2" s="1"/>
  <c r="R21" i="2"/>
  <c r="I21" i="2"/>
  <c r="F21" i="2"/>
  <c r="H21" i="2" s="1"/>
  <c r="J21" i="2" s="1"/>
  <c r="R20" i="2"/>
  <c r="I20" i="2"/>
  <c r="F20" i="2"/>
  <c r="H20" i="2" s="1"/>
  <c r="J20" i="2" s="1"/>
  <c r="R19" i="2"/>
  <c r="I19" i="2"/>
  <c r="F19" i="2"/>
  <c r="H19" i="2" s="1"/>
  <c r="J19" i="2" s="1"/>
  <c r="R18" i="2"/>
  <c r="I18" i="2"/>
  <c r="F18" i="2"/>
  <c r="H18" i="2" s="1"/>
  <c r="J18" i="2" s="1"/>
  <c r="R17" i="2"/>
  <c r="J17" i="2"/>
  <c r="I17" i="2"/>
  <c r="H17" i="2"/>
  <c r="F17" i="2"/>
  <c r="R16" i="2"/>
  <c r="I16" i="2"/>
  <c r="F16" i="2"/>
  <c r="H16" i="2" s="1"/>
  <c r="J16" i="2" s="1"/>
  <c r="R15" i="2"/>
  <c r="I15" i="2"/>
  <c r="F15" i="2"/>
  <c r="H15" i="2" s="1"/>
  <c r="J15" i="2" s="1"/>
  <c r="R14" i="2"/>
  <c r="I14" i="2"/>
  <c r="F14" i="2"/>
  <c r="H14" i="2" s="1"/>
  <c r="J14" i="2" s="1"/>
  <c r="R13" i="2"/>
  <c r="I13" i="2"/>
  <c r="F13" i="2"/>
  <c r="H13" i="2" s="1"/>
  <c r="J13" i="2" s="1"/>
  <c r="R12" i="2"/>
  <c r="I12" i="2"/>
  <c r="F12" i="2"/>
  <c r="H12" i="2" s="1"/>
  <c r="J12" i="2" s="1"/>
  <c r="R11" i="2"/>
  <c r="I11" i="2"/>
  <c r="F11" i="2"/>
  <c r="H11" i="2" s="1"/>
  <c r="J11" i="2" s="1"/>
  <c r="R10" i="2"/>
  <c r="I10" i="2"/>
  <c r="F10" i="2"/>
  <c r="H10" i="2" s="1"/>
  <c r="J10" i="2" s="1"/>
  <c r="R9" i="2"/>
  <c r="I9" i="2"/>
  <c r="F9" i="2"/>
  <c r="H9" i="2" s="1"/>
  <c r="J9" i="2" s="1"/>
  <c r="R8" i="2"/>
  <c r="I8" i="2"/>
  <c r="F8" i="2"/>
  <c r="H8" i="2" s="1"/>
  <c r="J8" i="2" s="1"/>
  <c r="R7" i="2"/>
  <c r="I7" i="2"/>
  <c r="F7" i="2"/>
  <c r="H7" i="2" s="1"/>
  <c r="J7" i="2" s="1"/>
  <c r="R6" i="2"/>
  <c r="I6" i="2"/>
  <c r="F6" i="2"/>
  <c r="H6" i="2" s="1"/>
  <c r="J6" i="2" s="1"/>
  <c r="R5" i="2"/>
  <c r="I5" i="2"/>
  <c r="F5" i="2"/>
  <c r="H5" i="2" s="1"/>
  <c r="J5" i="2" s="1"/>
  <c r="R4" i="2"/>
  <c r="I4" i="2"/>
  <c r="F4" i="2"/>
  <c r="H4" i="2" s="1"/>
  <c r="J4" i="2" s="1"/>
  <c r="R3" i="2"/>
  <c r="I3" i="2"/>
  <c r="F3" i="2"/>
  <c r="H3" i="2" s="1"/>
  <c r="J3" i="2" s="1"/>
  <c r="R2" i="2"/>
  <c r="I2" i="2"/>
  <c r="F2" i="2"/>
  <c r="H2" i="2" s="1"/>
  <c r="J2" i="2" s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N9" i="1"/>
  <c r="F6" i="1" s="1"/>
  <c r="N8" i="1"/>
  <c r="C6" i="1" s="1"/>
  <c r="N4" i="1"/>
  <c r="A6" i="1" s="1"/>
  <c r="N6" i="1" l="1"/>
  <c r="N7" i="1"/>
  <c r="N5" i="1"/>
  <c r="B14" i="1" l="1"/>
  <c r="C33" i="1"/>
  <c r="B15" i="1"/>
  <c r="C34" i="1"/>
  <c r="B13" i="1"/>
  <c r="C32" i="1"/>
  <c r="I6" i="1"/>
</calcChain>
</file>

<file path=xl/sharedStrings.xml><?xml version="1.0" encoding="utf-8"?>
<sst xmlns="http://schemas.openxmlformats.org/spreadsheetml/2006/main" count="93" uniqueCount="86">
  <si>
    <t>Calc Engine</t>
  </si>
  <si>
    <t>Total Students</t>
  </si>
  <si>
    <t>Borderline Attendance (70-80%)</t>
  </si>
  <si>
    <t>Borderline Score (55-65)</t>
  </si>
  <si>
    <t>RED - Dual Risk</t>
  </si>
  <si>
    <t>students</t>
  </si>
  <si>
    <t>Risk Category Breakdown</t>
  </si>
  <si>
    <t>Category</t>
  </si>
  <si>
    <t>Students</t>
  </si>
  <si>
    <t>YELLOW - Single Risk</t>
  </si>
  <si>
    <t>GREEN - Satisfactory</t>
  </si>
  <si>
    <t>Rank</t>
  </si>
  <si>
    <t>Student</t>
  </si>
  <si>
    <t>Attendance %</t>
  </si>
  <si>
    <t>Distance to 75%</t>
  </si>
  <si>
    <t>Two-Week Snapshot Comparison (illustrative)</t>
  </si>
  <si>
    <t>Last Week</t>
  </si>
  <si>
    <t>This Week</t>
  </si>
  <si>
    <t>RED</t>
  </si>
  <si>
    <t>YELLOW</t>
  </si>
  <si>
    <t>GREEN</t>
  </si>
  <si>
    <t>Student ID</t>
  </si>
  <si>
    <t>Name</t>
  </si>
  <si>
    <t>Test 1</t>
  </si>
  <si>
    <t>Test 2</t>
  </si>
  <si>
    <t>Test 3</t>
  </si>
  <si>
    <t>Average</t>
  </si>
  <si>
    <t>Academic Status</t>
  </si>
  <si>
    <t>Attendance Status</t>
  </si>
  <si>
    <t>Risk Category</t>
  </si>
  <si>
    <t>AbsDist75</t>
  </si>
  <si>
    <t>Ronan Whitaker</t>
  </si>
  <si>
    <t>Leilani Kamau</t>
  </si>
  <si>
    <t>Miles Reyes</t>
  </si>
  <si>
    <t>Sadie Sundberg</t>
  </si>
  <si>
    <t>Quentin Okonkwo</t>
  </si>
  <si>
    <t>Julia Ashworth</t>
  </si>
  <si>
    <t>Marcus Dumont</t>
  </si>
  <si>
    <t>Sofia Kowalczyk</t>
  </si>
  <si>
    <t>Ibrahim Nwosu</t>
  </si>
  <si>
    <t>Chloe Beaumont</t>
  </si>
  <si>
    <t>Deshawn Larkspur</t>
  </si>
  <si>
    <t>Mei Yamada</t>
  </si>
  <si>
    <t>Anthony Oyelaran</t>
  </si>
  <si>
    <t>Valeria Fitzgerald</t>
  </si>
  <si>
    <t>Kenji Callahan</t>
  </si>
  <si>
    <t>Brianna Dobrescu</t>
  </si>
  <si>
    <t>Omar Anand</t>
  </si>
  <si>
    <t>Isla Mbeki</t>
  </si>
  <si>
    <t>Xavier Solheim</t>
  </si>
  <si>
    <t>Natasha Rasmussen</t>
  </si>
  <si>
    <t>Cole Nakashima</t>
  </si>
  <si>
    <t>Priyanka Everhart</t>
  </si>
  <si>
    <t>Jamal Okwuosa</t>
  </si>
  <si>
    <t>Hannah Delacroix</t>
  </si>
  <si>
    <t>Theo Halvorsen</t>
  </si>
  <si>
    <t>Selena Onyema</t>
  </si>
  <si>
    <t>Dominic Whitcombe</t>
  </si>
  <si>
    <t>Amina Falkner</t>
  </si>
  <si>
    <t>Bryce Iheanacho</t>
  </si>
  <si>
    <t>Kayla Brennan</t>
  </si>
  <si>
    <t>Rashid Castellano</t>
  </si>
  <si>
    <t>Vivian Adeyinka</t>
  </si>
  <si>
    <t>Elias Winterbourne</t>
  </si>
  <si>
    <t>Jada Osafo</t>
  </si>
  <si>
    <t>Connor Delacruz</t>
  </si>
  <si>
    <t>Simone Nakagawa</t>
  </si>
  <si>
    <t>Trey Blackthorn</t>
  </si>
  <si>
    <t>Anaya Umeh</t>
  </si>
  <si>
    <t>Beckett Fairweather</t>
  </si>
  <si>
    <t>Rosalind Solberg</t>
  </si>
  <si>
    <t>Marisol Achterberg</t>
  </si>
  <si>
    <t>Grant Nwachukwu</t>
  </si>
  <si>
    <t>Ainsley Holloway</t>
  </si>
  <si>
    <t>Devon Petrescu</t>
  </si>
  <si>
    <t>Kiara Adeleke</t>
  </si>
  <si>
    <t>Rows: 45 fictional students, randomly generated.</t>
  </si>
  <si>
    <t>SPSS  Dashboard — Maple Grove Academy (45 students)</t>
  </si>
  <si>
    <t>Columns F (Average), H (Academic Status), I (Attendance Status), and J (Risk Category)</t>
  </si>
  <si>
    <t>are LIVE FORMULAS - replacing columns C:E and G with real data recalculates everything.</t>
  </si>
  <si>
    <t>IMPORTANT - Orange setup: when you load this into Orange, set Academic Status and</t>
  </si>
  <si>
    <t>Attendance Status to META (not Feature) in the File widget. Leaving them as Features</t>
  </si>
  <si>
    <t>causes the Decision Tree to see the answer directly and score a meaningless 1.000.</t>
  </si>
  <si>
    <t>Excel + Orange SPSS workflow.</t>
  </si>
  <si>
    <t>Design : Borderline Student Watch</t>
  </si>
  <si>
    <t>Borderline Watch List  Threshold (75%)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</si>
</sst>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"/>
  </numFmts>
  <fonts count="2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A6A6A6"/>
      <name val="Cambria"/>
      <charset val="1"/>
    </font>
    <font>
      <i/>
      <sz val="10"/>
      <color rgb="FF595959"/>
      <name val="Arial"/>
      <charset val="1"/>
    </font>
    <font>
      <b/>
      <sz val="17"/>
      <color rgb="FFFFFFFF"/>
      <name val="Arial"/>
      <charset val="1"/>
    </font>
    <font>
      <sz val="9"/>
      <color rgb="FFA6A6A6"/>
      <name val="Cambria"/>
      <charset val="1"/>
    </font>
    <font>
      <b/>
      <sz val="10"/>
      <color rgb="FFFFFFFF"/>
      <name val="Arial"/>
      <charset val="1"/>
    </font>
    <font>
      <b/>
      <sz val="24"/>
      <color rgb="FF1F3864"/>
      <name val="Arial"/>
      <charset val="1"/>
    </font>
    <font>
      <b/>
      <sz val="24"/>
      <color rgb="FFA6531C"/>
      <name val="Arial"/>
      <charset val="1"/>
    </font>
    <font>
      <b/>
      <sz val="24"/>
      <color rgb="FFC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Cambria"/>
      <charset val="1"/>
    </font>
    <font>
      <b/>
      <sz val="10"/>
      <color rgb="FFC00000"/>
      <name val="Cambria"/>
      <charset val="1"/>
    </font>
    <font>
      <b/>
      <sz val="10"/>
      <color rgb="FFBF8F00"/>
      <name val="Cambria"/>
      <charset val="1"/>
    </font>
    <font>
      <b/>
      <sz val="10"/>
      <color rgb="FF548235"/>
      <name val="Cambria"/>
      <charset val="1"/>
    </font>
    <font>
      <b/>
      <sz val="11"/>
      <color rgb="FFA6531C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1"/>
      <color rgb="FFA6531C"/>
      <name val="Arial"/>
      <family val="2"/>
    </font>
    <font>
      <b/>
      <sz val="14"/>
      <color rgb="FFC00000"/>
      <name val="Arial"/>
      <family val="2"/>
    </font>
    <font>
      <b/>
      <sz val="15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1F3864"/>
        <bgColor rgb="FF333333"/>
      </patternFill>
    </fill>
    <fill>
      <patternFill patternType="solid">
        <fgColor rgb="FFA6531C"/>
        <bgColor rgb="FF9C6500"/>
      </patternFill>
    </fill>
    <fill>
      <patternFill patternType="solid">
        <fgColor rgb="FF2F5597"/>
        <bgColor rgb="FF1F3864"/>
      </patternFill>
    </fill>
    <fill>
      <patternFill patternType="solid">
        <fgColor theme="8" tint="0.39997558519241921"/>
        <bgColor rgb="FF9C00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5" fillId="0" borderId="0" xfId="0" applyFont="1"/>
    <xf numFmtId="0" fontId="11" fillId="4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0" applyNumberFormat="1"/>
    <xf numFmtId="2" fontId="0" fillId="0" borderId="0" xfId="0" applyNumberFormat="1"/>
    <xf numFmtId="0" fontId="15" fillId="0" borderId="0" xfId="0" applyFont="1"/>
    <xf numFmtId="0" fontId="16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1" fontId="7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2F559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9A9A9"/>
      <rgbColor rgb="FF808080"/>
      <rgbColor rgb="FFA6A6A6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A6531C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C4F-460D-BFB4-29C1A08A0E04}"/>
              </c:ext>
            </c:extLst>
          </c:dPt>
          <c:dPt>
            <c:idx val="1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C4F-460D-BFB4-29C1A08A0E04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C4F-460D-BFB4-29C1A08A0E0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4F-460D-BFB4-29C1A08A0E0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4F-460D-BFB4-29C1A08A0E0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4F-460D-BFB4-29C1A08A0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Dashboard!$A$13:$A$15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6</c:v>
                </c:pt>
                <c:pt idx="1">
                  <c:v>19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4F-460D-BFB4-29C1A08A0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Borderline Attendance Watch 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A653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Dashboard!$B$20:$B$27</c:f>
              <c:strCache>
                <c:ptCount val="8"/>
                <c:pt idx="0">
                  <c:v>Vivian Adeyinka</c:v>
                </c:pt>
                <c:pt idx="1">
                  <c:v>Anthony Oyelaran</c:v>
                </c:pt>
                <c:pt idx="2">
                  <c:v>Anaya Umeh</c:v>
                </c:pt>
                <c:pt idx="3">
                  <c:v>Amina Falkner</c:v>
                </c:pt>
                <c:pt idx="4">
                  <c:v>Simone Nakagawa</c:v>
                </c:pt>
                <c:pt idx="5">
                  <c:v>Omar Anand</c:v>
                </c:pt>
                <c:pt idx="6">
                  <c:v>Miles Reyes</c:v>
                </c:pt>
                <c:pt idx="7">
                  <c:v>Deshawn Larkspur</c:v>
                </c:pt>
              </c:strCache>
            </c:strRef>
          </c:cat>
          <c:val>
            <c:numRef>
              <c:f>Dashboard!$C$20:$C$27</c:f>
              <c:numCache>
                <c:formatCode>0.0\%</c:formatCode>
                <c:ptCount val="8"/>
                <c:pt idx="0">
                  <c:v>75.099999999999994</c:v>
                </c:pt>
                <c:pt idx="1">
                  <c:v>73.400000000000006</c:v>
                </c:pt>
                <c:pt idx="2">
                  <c:v>73.3</c:v>
                </c:pt>
                <c:pt idx="3">
                  <c:v>76.900000000000006</c:v>
                </c:pt>
                <c:pt idx="4">
                  <c:v>77.099999999999994</c:v>
                </c:pt>
                <c:pt idx="5">
                  <c:v>77.3</c:v>
                </c:pt>
                <c:pt idx="6">
                  <c:v>72.099999999999994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5-4BB4-98DE-9F7F8853F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76867"/>
        <c:axId val="24826005"/>
      </c:barChart>
      <c:catAx>
        <c:axId val="640768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26005"/>
        <c:crosses val="autoZero"/>
        <c:auto val="1"/>
        <c:lblAlgn val="ctr"/>
        <c:lblOffset val="100"/>
        <c:noMultiLvlLbl val="0"/>
      </c:catAx>
      <c:valAx>
        <c:axId val="24826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768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Last Week vs This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Last Week</c:v>
                </c:pt>
              </c:strCache>
            </c:strRef>
          </c:tx>
          <c:spPr>
            <a:solidFill>
              <a:srgbClr val="A9A9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Dashboard!$A$32:$A$34</c:f>
              <c:strCache>
                <c:ptCount val="3"/>
                <c:pt idx="0">
                  <c:v>RED</c:v>
                </c:pt>
                <c:pt idx="1">
                  <c:v>YELLOW</c:v>
                </c:pt>
                <c:pt idx="2">
                  <c:v>GREEN</c:v>
                </c:pt>
              </c:strCache>
            </c:strRef>
          </c:cat>
          <c:val>
            <c:numRef>
              <c:f>Dashboard!$B$32:$B$34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4-47CE-B6D1-FB895B4A9215}"/>
            </c:ext>
          </c:extLst>
        </c:ser>
        <c:ser>
          <c:idx val="1"/>
          <c:order val="1"/>
          <c:tx>
            <c:strRef>
              <c:f>Dashboard!$C$31</c:f>
              <c:strCache>
                <c:ptCount val="1"/>
                <c:pt idx="0">
                  <c:v>This Week</c:v>
                </c:pt>
              </c:strCache>
            </c:strRef>
          </c:tx>
          <c:spPr>
            <a:solidFill>
              <a:srgbClr val="A653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Dashboard!$A$32:$A$34</c:f>
              <c:strCache>
                <c:ptCount val="3"/>
                <c:pt idx="0">
                  <c:v>RED</c:v>
                </c:pt>
                <c:pt idx="1">
                  <c:v>YELLOW</c:v>
                </c:pt>
                <c:pt idx="2">
                  <c:v>GREEN</c:v>
                </c:pt>
              </c:strCache>
            </c:strRef>
          </c:cat>
          <c:val>
            <c:numRef>
              <c:f>Dashboard!$C$32:$C$34</c:f>
              <c:numCache>
                <c:formatCode>General</c:formatCode>
                <c:ptCount val="3"/>
                <c:pt idx="0">
                  <c:v>6</c:v>
                </c:pt>
                <c:pt idx="1">
                  <c:v>19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4-47CE-B6D1-FB895B4A9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80508"/>
        <c:axId val="37083161"/>
      </c:barChart>
      <c:catAx>
        <c:axId val="51780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83161"/>
        <c:crosses val="autoZero"/>
        <c:auto val="1"/>
        <c:lblAlgn val="ctr"/>
        <c:lblOffset val="100"/>
        <c:noMultiLvlLbl val="0"/>
      </c:catAx>
      <c:valAx>
        <c:axId val="3708316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80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9</xdr:row>
      <xdr:rowOff>38100</xdr:rowOff>
    </xdr:from>
    <xdr:to>
      <xdr:col>8</xdr:col>
      <xdr:colOff>709620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655320</xdr:colOff>
      <xdr:row>9</xdr:row>
      <xdr:rowOff>38100</xdr:rowOff>
    </xdr:from>
    <xdr:to>
      <xdr:col>14</xdr:col>
      <xdr:colOff>428040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701040</xdr:colOff>
      <xdr:row>23</xdr:row>
      <xdr:rowOff>38100</xdr:rowOff>
    </xdr:from>
    <xdr:to>
      <xdr:col>13</xdr:col>
      <xdr:colOff>68580</xdr:colOff>
      <xdr:row>34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DB5E8-AE34-497D-B3EB-48884FC8EB7E}" name="Table1" displayName="Table1" ref="A1:J46" totalsRowShown="0" headerRowDxfId="14" dataDxfId="13">
  <autoFilter ref="A1:J46" xr:uid="{B18DB5E8-AE34-497D-B3EB-48884FC8EB7E}"/>
  <tableColumns count="10">
    <tableColumn id="1" xr3:uid="{AC7371CE-9808-4F5E-ABC6-4F536F98BBDD}" name="Student ID" dataDxfId="12"/>
    <tableColumn id="2" xr3:uid="{D01EEE38-4C6A-409E-A971-80C2B25A301B}" name="Name" dataDxfId="11"/>
    <tableColumn id="3" xr3:uid="{C80EF7CE-BA3D-4C9B-B913-0D1FC9545834}" name="Test 1" dataDxfId="10"/>
    <tableColumn id="4" xr3:uid="{E617AD9F-9C1D-48F0-9FD8-98F5E18492D2}" name="Test 2" dataDxfId="9"/>
    <tableColumn id="5" xr3:uid="{46495599-8FE7-462B-AC98-92069EA9BDDA}" name="Test 3" dataDxfId="8"/>
    <tableColumn id="6" xr3:uid="{DEAA6630-EED7-4E85-9A63-2FE582D1336E}" name="Average" dataDxfId="7">
      <calculatedColumnFormula>ROUND(AVERAGE(C2:E2),1)</calculatedColumnFormula>
    </tableColumn>
    <tableColumn id="7" xr3:uid="{819629DD-7716-496A-981A-93402158D00F}" name="Attendance %" dataDxfId="6"/>
    <tableColumn id="8" xr3:uid="{C19AF4D3-2077-47FC-9BC0-195E45FF221E}" name="Academic Status" dataDxfId="5">
      <calculatedColumnFormula>IF(F2&lt;60,"FAIL","PASS")</calculatedColumnFormula>
    </tableColumn>
    <tableColumn id="9" xr3:uid="{4316FBAB-07EC-42A5-8060-277CF7C81487}" name="Attendance Status" dataDxfId="4">
      <calculatedColumnFormula>IF(G2&lt;75,"FAIL","PASS")</calculatedColumnFormula>
    </tableColumn>
    <tableColumn id="10" xr3:uid="{D7CA1EB5-00B6-42C0-89D9-5D71C3373F31}" name="Risk Category" dataDxfId="3">
      <calculatedColumnFormula>IF(AND(H2="FAIL",I2="FAIL"),"RED - Dual Risk",IF(OR(H2="FAIL",I2="FAIL"),"YELLOW - Single Risk","GREEN - Satisfactory"))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zoomScale="76" zoomScaleNormal="76" workbookViewId="0">
      <selection activeCell="Q14" sqref="Q14"/>
    </sheetView>
  </sheetViews>
  <sheetFormatPr defaultColWidth="8.6640625" defaultRowHeight="14.4" x14ac:dyDescent="0.3"/>
  <cols>
    <col min="1" max="3" width="10.5546875" customWidth="1"/>
    <col min="4" max="4" width="18.6640625" customWidth="1"/>
    <col min="5" max="6" width="10.5546875" customWidth="1"/>
    <col min="7" max="7" width="14.6640625" customWidth="1"/>
    <col min="8" max="12" width="10.5546875" customWidth="1"/>
  </cols>
  <sheetData>
    <row r="1" spans="1:14" ht="30" customHeight="1" x14ac:dyDescent="0.3">
      <c r="A1" s="21" t="s">
        <v>77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N1" s="1" t="s">
        <v>0</v>
      </c>
    </row>
    <row r="2" spans="1:14" ht="7.2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4" ht="30" customHeight="1" x14ac:dyDescent="0.3">
      <c r="A3" s="24" t="s">
        <v>84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4" ht="6" customHeight="1" x14ac:dyDescent="0.3">
      <c r="N4" s="2">
        <f>COUNTA('Student Data'!A2:A46)</f>
        <v>45</v>
      </c>
    </row>
    <row r="5" spans="1:14" ht="19.5" customHeight="1" x14ac:dyDescent="0.3">
      <c r="A5" s="25" t="s">
        <v>1</v>
      </c>
      <c r="B5" s="25"/>
      <c r="C5" s="26" t="s">
        <v>2</v>
      </c>
      <c r="D5" s="26"/>
      <c r="F5" s="26" t="s">
        <v>3</v>
      </c>
      <c r="G5" s="26"/>
      <c r="I5" s="27" t="s">
        <v>4</v>
      </c>
      <c r="J5" s="27"/>
      <c r="N5" s="2">
        <f>COUNTIF('Student Data'!J2:J46,"RED - Dual Risk")</f>
        <v>6</v>
      </c>
    </row>
    <row r="6" spans="1:14" ht="27.75" customHeight="1" x14ac:dyDescent="0.3">
      <c r="A6" s="17">
        <f>N4</f>
        <v>45</v>
      </c>
      <c r="B6" s="17"/>
      <c r="C6" s="18">
        <f>N8</f>
        <v>12</v>
      </c>
      <c r="D6" s="18"/>
      <c r="F6" s="18">
        <f>N9</f>
        <v>0</v>
      </c>
      <c r="G6" s="18"/>
      <c r="I6" s="19">
        <f>N5</f>
        <v>6</v>
      </c>
      <c r="J6" s="19"/>
      <c r="N6" s="2">
        <f>COUNTIF('Student Data'!J2:J46,"YELLOW - Single Risk")</f>
        <v>19</v>
      </c>
    </row>
    <row r="7" spans="1:14" ht="27.75" customHeight="1" x14ac:dyDescent="0.3">
      <c r="A7" s="17"/>
      <c r="B7" s="17"/>
      <c r="C7" s="18"/>
      <c r="D7" s="18"/>
      <c r="F7" s="18"/>
      <c r="G7" s="18"/>
      <c r="I7" s="19"/>
      <c r="J7" s="19"/>
      <c r="N7" s="2">
        <f>COUNTIF('Student Data'!J2:J46,"GREEN - Satisfactory")</f>
        <v>20</v>
      </c>
    </row>
    <row r="8" spans="1:14" ht="6" customHeight="1" x14ac:dyDescent="0.3">
      <c r="A8" s="17"/>
      <c r="B8" s="17"/>
      <c r="C8" s="18"/>
      <c r="D8" s="18"/>
      <c r="F8" s="18"/>
      <c r="G8" s="18"/>
      <c r="I8" s="19"/>
      <c r="J8" s="19"/>
      <c r="N8" s="2">
        <f>COUNTIFS('Student Data'!G2:G46,"&gt;=70",'Student Data'!G2:G46,"&lt;80")</f>
        <v>12</v>
      </c>
    </row>
    <row r="9" spans="1:14" ht="18.600000000000001" customHeight="1" x14ac:dyDescent="0.3">
      <c r="A9" s="20" t="s">
        <v>5</v>
      </c>
      <c r="B9" s="20"/>
      <c r="C9" s="20" t="s">
        <v>5</v>
      </c>
      <c r="D9" s="20"/>
      <c r="F9" s="20" t="s">
        <v>5</v>
      </c>
      <c r="G9" s="20"/>
      <c r="I9" s="20" t="s">
        <v>5</v>
      </c>
      <c r="J9" s="20"/>
      <c r="N9" s="2">
        <f>COUNTIFS('Student Data'!F2:F46,"&gt;=55",'Student Data'!F2:F46,"&lt;65")</f>
        <v>0</v>
      </c>
    </row>
    <row r="11" spans="1:14" x14ac:dyDescent="0.3">
      <c r="A11" s="15" t="s">
        <v>6</v>
      </c>
    </row>
    <row r="12" spans="1:14" x14ac:dyDescent="0.3">
      <c r="A12" s="3" t="s">
        <v>7</v>
      </c>
      <c r="B12" s="3" t="s">
        <v>8</v>
      </c>
    </row>
    <row r="13" spans="1:14" x14ac:dyDescent="0.3">
      <c r="A13" s="4" t="s">
        <v>4</v>
      </c>
      <c r="B13">
        <f>N5</f>
        <v>6</v>
      </c>
    </row>
    <row r="14" spans="1:14" x14ac:dyDescent="0.3">
      <c r="A14" s="5" t="s">
        <v>9</v>
      </c>
      <c r="B14">
        <f>N6</f>
        <v>19</v>
      </c>
    </row>
    <row r="15" spans="1:14" x14ac:dyDescent="0.3">
      <c r="A15" s="6" t="s">
        <v>10</v>
      </c>
      <c r="B15">
        <f>N7</f>
        <v>20</v>
      </c>
    </row>
    <row r="18" spans="1:4" x14ac:dyDescent="0.3">
      <c r="A18" s="15" t="s">
        <v>85</v>
      </c>
    </row>
    <row r="19" spans="1:4" x14ac:dyDescent="0.3">
      <c r="A19" s="3" t="s">
        <v>11</v>
      </c>
      <c r="B19" s="3" t="s">
        <v>12</v>
      </c>
      <c r="C19" s="3" t="s">
        <v>13</v>
      </c>
      <c r="D19" s="3" t="s">
        <v>14</v>
      </c>
    </row>
    <row r="20" spans="1:4" x14ac:dyDescent="0.3">
      <c r="A20">
        <v>1</v>
      </c>
      <c r="B20" t="str">
        <f>INDEX('Student Data'!$B$2:$B$46,MATCH(SMALL('Student Data'!$R$2:$R$46,1),'Student Data'!$R$2:$R$46,0))</f>
        <v>Vivian Adeyinka</v>
      </c>
      <c r="C20" s="7">
        <f>INDEX('Student Data'!$G$2:$G$46,MATCH(SMALL('Student Data'!$R$2:$R$46,1),'Student Data'!$R$2:$R$46,0))</f>
        <v>75.099999999999994</v>
      </c>
      <c r="D20" s="8">
        <f>SMALL('Student Data'!$R$2:$R$46,1)</f>
        <v>0.10003199999999432</v>
      </c>
    </row>
    <row r="21" spans="1:4" x14ac:dyDescent="0.3">
      <c r="A21">
        <v>2</v>
      </c>
      <c r="B21" t="str">
        <f>INDEX('Student Data'!$B$2:$B$46,MATCH(SMALL('Student Data'!$R$2:$R$46,2),'Student Data'!$R$2:$R$46,0))</f>
        <v>Anthony Oyelaran</v>
      </c>
      <c r="C21" s="7">
        <f>INDEX('Student Data'!$G$2:$G$46,MATCH(SMALL('Student Data'!$R$2:$R$46,2),'Student Data'!$R$2:$R$46,0))</f>
        <v>73.400000000000006</v>
      </c>
      <c r="D21" s="8">
        <f>SMALL('Student Data'!$R$2:$R$46,2)</f>
        <v>1.6000129999999944</v>
      </c>
    </row>
    <row r="22" spans="1:4" x14ac:dyDescent="0.3">
      <c r="A22">
        <v>3</v>
      </c>
      <c r="B22" t="str">
        <f>INDEX('Student Data'!$B$2:$B$46,MATCH(SMALL('Student Data'!$R$2:$R$46,3),'Student Data'!$R$2:$R$46,0))</f>
        <v>Anaya Umeh</v>
      </c>
      <c r="C22" s="7">
        <f>INDEX('Student Data'!$G$2:$G$46,MATCH(SMALL('Student Data'!$R$2:$R$46,3),'Student Data'!$R$2:$R$46,0))</f>
        <v>73.3</v>
      </c>
      <c r="D22" s="8">
        <f>SMALL('Student Data'!$R$2:$R$46,3)</f>
        <v>1.7000380000000028</v>
      </c>
    </row>
    <row r="23" spans="1:4" x14ac:dyDescent="0.3">
      <c r="A23">
        <v>4</v>
      </c>
      <c r="B23" t="str">
        <f>INDEX('Student Data'!$B$2:$B$46,MATCH(SMALL('Student Data'!$R$2:$R$46,4),'Student Data'!$R$2:$R$46,0))</f>
        <v>Amina Falkner</v>
      </c>
      <c r="C23" s="7">
        <f>INDEX('Student Data'!$G$2:$G$46,MATCH(SMALL('Student Data'!$R$2:$R$46,4),'Student Data'!$R$2:$R$46,0))</f>
        <v>76.900000000000006</v>
      </c>
      <c r="D23" s="8">
        <f>SMALL('Student Data'!$R$2:$R$46,4)</f>
        <v>1.9000280000000056</v>
      </c>
    </row>
    <row r="24" spans="1:4" x14ac:dyDescent="0.3">
      <c r="A24">
        <v>5</v>
      </c>
      <c r="B24" t="str">
        <f>INDEX('Student Data'!$B$2:$B$46,MATCH(SMALL('Student Data'!$R$2:$R$46,5),'Student Data'!$R$2:$R$46,0))</f>
        <v>Simone Nakagawa</v>
      </c>
      <c r="C24" s="7">
        <f>INDEX('Student Data'!$G$2:$G$46,MATCH(SMALL('Student Data'!$R$2:$R$46,5),'Student Data'!$R$2:$R$46,0))</f>
        <v>77.099999999999994</v>
      </c>
      <c r="D24" s="8">
        <f>SMALL('Student Data'!$R$2:$R$46,5)</f>
        <v>2.1000359999999945</v>
      </c>
    </row>
    <row r="25" spans="1:4" x14ac:dyDescent="0.3">
      <c r="A25">
        <v>6</v>
      </c>
      <c r="B25" t="str">
        <f>INDEX('Student Data'!$B$2:$B$46,MATCH(SMALL('Student Data'!$R$2:$R$46,6),'Student Data'!$R$2:$R$46,0))</f>
        <v>Omar Anand</v>
      </c>
      <c r="C25" s="7">
        <f>INDEX('Student Data'!$G$2:$G$46,MATCH(SMALL('Student Data'!$R$2:$R$46,6),'Student Data'!$R$2:$R$46,0))</f>
        <v>77.3</v>
      </c>
      <c r="D25" s="8">
        <f>SMALL('Student Data'!$R$2:$R$46,6)</f>
        <v>2.3000169999999973</v>
      </c>
    </row>
    <row r="26" spans="1:4" x14ac:dyDescent="0.3">
      <c r="A26">
        <v>7</v>
      </c>
      <c r="B26" t="str">
        <f>INDEX('Student Data'!$B$2:$B$46,MATCH(SMALL('Student Data'!$R$2:$R$46,7),'Student Data'!$R$2:$R$46,0))</f>
        <v>Miles Reyes</v>
      </c>
      <c r="C26" s="7">
        <f>INDEX('Student Data'!$G$2:$G$46,MATCH(SMALL('Student Data'!$R$2:$R$46,7),'Student Data'!$R$2:$R$46,0))</f>
        <v>72.099999999999994</v>
      </c>
      <c r="D26" s="8">
        <f>SMALL('Student Data'!$R$2:$R$46,7)</f>
        <v>2.9000030000000057</v>
      </c>
    </row>
    <row r="27" spans="1:4" x14ac:dyDescent="0.3">
      <c r="A27">
        <v>8</v>
      </c>
      <c r="B27" t="str">
        <f>INDEX('Student Data'!$B$2:$B$46,MATCH(SMALL('Student Data'!$R$2:$R$46,8),'Student Data'!$R$2:$R$46,0))</f>
        <v>Deshawn Larkspur</v>
      </c>
      <c r="C27" s="7">
        <f>INDEX('Student Data'!$G$2:$G$46,MATCH(SMALL('Student Data'!$R$2:$R$46,8),'Student Data'!$R$2:$R$46,0))</f>
        <v>72</v>
      </c>
      <c r="D27" s="8">
        <f>SMALL('Student Data'!$R$2:$R$46,8)</f>
        <v>3.0000110000000002</v>
      </c>
    </row>
    <row r="30" spans="1:4" x14ac:dyDescent="0.3">
      <c r="A30" s="9" t="s">
        <v>15</v>
      </c>
    </row>
    <row r="31" spans="1:4" x14ac:dyDescent="0.3">
      <c r="A31" s="3" t="s">
        <v>7</v>
      </c>
      <c r="B31" s="3" t="s">
        <v>16</v>
      </c>
      <c r="C31" s="3" t="s">
        <v>17</v>
      </c>
    </row>
    <row r="32" spans="1:4" x14ac:dyDescent="0.3">
      <c r="A32" t="s">
        <v>18</v>
      </c>
      <c r="B32">
        <v>5</v>
      </c>
      <c r="C32">
        <f>N5</f>
        <v>6</v>
      </c>
    </row>
    <row r="33" spans="1:3" x14ac:dyDescent="0.3">
      <c r="A33" t="s">
        <v>19</v>
      </c>
      <c r="B33">
        <v>10</v>
      </c>
      <c r="C33">
        <f>N6</f>
        <v>19</v>
      </c>
    </row>
    <row r="34" spans="1:3" x14ac:dyDescent="0.3">
      <c r="A34" t="s">
        <v>20</v>
      </c>
      <c r="B34">
        <v>16</v>
      </c>
      <c r="C34">
        <f>N7</f>
        <v>20</v>
      </c>
    </row>
  </sheetData>
  <mergeCells count="15">
    <mergeCell ref="A1:L1"/>
    <mergeCell ref="A2:L2"/>
    <mergeCell ref="A3:L3"/>
    <mergeCell ref="A5:B5"/>
    <mergeCell ref="C5:D5"/>
    <mergeCell ref="F5:G5"/>
    <mergeCell ref="I5:J5"/>
    <mergeCell ref="A6:B8"/>
    <mergeCell ref="C6:D8"/>
    <mergeCell ref="F6:G8"/>
    <mergeCell ref="I6:J8"/>
    <mergeCell ref="A9:B9"/>
    <mergeCell ref="C9:D9"/>
    <mergeCell ref="F9:G9"/>
    <mergeCell ref="I9:J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6640625" defaultRowHeight="14.4" x14ac:dyDescent="0.3"/>
  <cols>
    <col min="1" max="1" width="13" customWidth="1"/>
    <col min="2" max="2" width="20" customWidth="1"/>
    <col min="3" max="5" width="8.77734375" customWidth="1"/>
    <col min="6" max="6" width="13.6640625" bestFit="1" customWidth="1"/>
    <col min="7" max="7" width="19.109375" bestFit="1" customWidth="1"/>
    <col min="8" max="8" width="22" bestFit="1" customWidth="1"/>
    <col min="9" max="9" width="23.44140625" bestFit="1" customWidth="1"/>
    <col min="10" max="10" width="20.5546875" bestFit="1" customWidth="1"/>
  </cols>
  <sheetData>
    <row r="1" spans="1:18" x14ac:dyDescent="0.3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13</v>
      </c>
      <c r="H1" s="10" t="s">
        <v>27</v>
      </c>
      <c r="I1" s="10" t="s">
        <v>28</v>
      </c>
      <c r="J1" s="10" t="s">
        <v>29</v>
      </c>
      <c r="R1" t="s">
        <v>30</v>
      </c>
    </row>
    <row r="2" spans="1:18" x14ac:dyDescent="0.3">
      <c r="A2" s="11">
        <v>1001</v>
      </c>
      <c r="B2" s="11" t="s">
        <v>31</v>
      </c>
      <c r="C2" s="11">
        <v>52</v>
      </c>
      <c r="D2" s="11">
        <v>47</v>
      </c>
      <c r="E2" s="11">
        <v>38</v>
      </c>
      <c r="F2" s="12">
        <f t="shared" ref="F2:F46" si="0">ROUND(AVERAGE(C2:E2),1)</f>
        <v>45.7</v>
      </c>
      <c r="G2" s="13">
        <v>87.7</v>
      </c>
      <c r="H2" s="11" t="str">
        <f t="shared" ref="H2:H46" si="1">IF(F2&lt;60,"FAIL","PASS")</f>
        <v>FAIL</v>
      </c>
      <c r="I2" s="11" t="str">
        <f t="shared" ref="I2:I46" si="2">IF(G2&lt;75,"FAIL","PASS")</f>
        <v>PASS</v>
      </c>
      <c r="J2" s="11" t="str">
        <f t="shared" ref="J2:J46" si="3">IF(AND(H2="FAIL",I2="FAIL"),"RED - Dual Risk",IF(OR(H2="FAIL",I2="FAIL"),"YELLOW - Single Risk","GREEN - Satisfactory"))</f>
        <v>YELLOW - Single Risk</v>
      </c>
      <c r="R2">
        <f t="shared" ref="R2:R46" si="4">ABS(G2-75)+(ROW()-1)/1000000</f>
        <v>12.700001000000002</v>
      </c>
    </row>
    <row r="3" spans="1:18" x14ac:dyDescent="0.3">
      <c r="A3" s="11">
        <v>1002</v>
      </c>
      <c r="B3" s="11" t="s">
        <v>32</v>
      </c>
      <c r="C3" s="11">
        <v>73</v>
      </c>
      <c r="D3" s="11">
        <v>78</v>
      </c>
      <c r="E3" s="11">
        <v>61</v>
      </c>
      <c r="F3" s="12">
        <f t="shared" si="0"/>
        <v>70.7</v>
      </c>
      <c r="G3" s="13">
        <v>64.8</v>
      </c>
      <c r="H3" s="11" t="str">
        <f t="shared" si="1"/>
        <v>PASS</v>
      </c>
      <c r="I3" s="11" t="str">
        <f t="shared" si="2"/>
        <v>FAIL</v>
      </c>
      <c r="J3" s="11" t="str">
        <f t="shared" si="3"/>
        <v>YELLOW - Single Risk</v>
      </c>
      <c r="R3">
        <f t="shared" si="4"/>
        <v>10.200002000000003</v>
      </c>
    </row>
    <row r="4" spans="1:18" x14ac:dyDescent="0.3">
      <c r="A4" s="11">
        <v>1003</v>
      </c>
      <c r="B4" s="11" t="s">
        <v>33</v>
      </c>
      <c r="C4" s="11">
        <v>38</v>
      </c>
      <c r="D4" s="11">
        <v>39</v>
      </c>
      <c r="E4" s="11">
        <v>49</v>
      </c>
      <c r="F4" s="12">
        <f t="shared" si="0"/>
        <v>42</v>
      </c>
      <c r="G4" s="13">
        <v>72.099999999999994</v>
      </c>
      <c r="H4" s="11" t="str">
        <f t="shared" si="1"/>
        <v>FAIL</v>
      </c>
      <c r="I4" s="11" t="str">
        <f t="shared" si="2"/>
        <v>FAIL</v>
      </c>
      <c r="J4" s="11" t="str">
        <f t="shared" si="3"/>
        <v>RED - Dual Risk</v>
      </c>
      <c r="R4">
        <f t="shared" si="4"/>
        <v>2.9000030000000057</v>
      </c>
    </row>
    <row r="5" spans="1:18" x14ac:dyDescent="0.3">
      <c r="A5" s="11">
        <v>1004</v>
      </c>
      <c r="B5" s="11" t="s">
        <v>34</v>
      </c>
      <c r="C5" s="11">
        <v>56</v>
      </c>
      <c r="D5" s="11">
        <v>41</v>
      </c>
      <c r="E5" s="11">
        <v>48</v>
      </c>
      <c r="F5" s="12">
        <f t="shared" si="0"/>
        <v>48.3</v>
      </c>
      <c r="G5" s="13">
        <v>99.6</v>
      </c>
      <c r="H5" s="11" t="str">
        <f t="shared" si="1"/>
        <v>FAIL</v>
      </c>
      <c r="I5" s="11" t="str">
        <f t="shared" si="2"/>
        <v>PASS</v>
      </c>
      <c r="J5" s="11" t="str">
        <f t="shared" si="3"/>
        <v>YELLOW - Single Risk</v>
      </c>
      <c r="R5">
        <f t="shared" si="4"/>
        <v>24.600003999999995</v>
      </c>
    </row>
    <row r="6" spans="1:18" x14ac:dyDescent="0.3">
      <c r="A6" s="11">
        <v>1005</v>
      </c>
      <c r="B6" s="11" t="s">
        <v>35</v>
      </c>
      <c r="C6" s="11">
        <v>73</v>
      </c>
      <c r="D6" s="11">
        <v>89</v>
      </c>
      <c r="E6" s="11">
        <v>75</v>
      </c>
      <c r="F6" s="12">
        <f t="shared" si="0"/>
        <v>79</v>
      </c>
      <c r="G6" s="13">
        <v>85.9</v>
      </c>
      <c r="H6" s="11" t="str">
        <f t="shared" si="1"/>
        <v>PASS</v>
      </c>
      <c r="I6" s="11" t="str">
        <f t="shared" si="2"/>
        <v>PASS</v>
      </c>
      <c r="J6" s="11" t="str">
        <f t="shared" si="3"/>
        <v>GREEN - Satisfactory</v>
      </c>
      <c r="R6">
        <f t="shared" si="4"/>
        <v>10.900005000000005</v>
      </c>
    </row>
    <row r="7" spans="1:18" x14ac:dyDescent="0.3">
      <c r="A7" s="11">
        <v>1006</v>
      </c>
      <c r="B7" s="11" t="s">
        <v>36</v>
      </c>
      <c r="C7" s="11">
        <v>43</v>
      </c>
      <c r="D7" s="11">
        <v>51</v>
      </c>
      <c r="E7" s="11">
        <v>44</v>
      </c>
      <c r="F7" s="12">
        <f t="shared" si="0"/>
        <v>46</v>
      </c>
      <c r="G7" s="13">
        <v>79.900000000000006</v>
      </c>
      <c r="H7" s="11" t="str">
        <f t="shared" si="1"/>
        <v>FAIL</v>
      </c>
      <c r="I7" s="11" t="str">
        <f t="shared" si="2"/>
        <v>PASS</v>
      </c>
      <c r="J7" s="11" t="str">
        <f t="shared" si="3"/>
        <v>YELLOW - Single Risk</v>
      </c>
      <c r="R7">
        <f t="shared" si="4"/>
        <v>4.9000060000000056</v>
      </c>
    </row>
    <row r="8" spans="1:18" x14ac:dyDescent="0.3">
      <c r="A8" s="11">
        <v>1007</v>
      </c>
      <c r="B8" s="11" t="s">
        <v>37</v>
      </c>
      <c r="C8" s="11">
        <v>62</v>
      </c>
      <c r="D8" s="11">
        <v>69</v>
      </c>
      <c r="E8" s="11">
        <v>82</v>
      </c>
      <c r="F8" s="12">
        <f t="shared" si="0"/>
        <v>71</v>
      </c>
      <c r="G8" s="13">
        <v>42.5</v>
      </c>
      <c r="H8" s="11" t="str">
        <f t="shared" si="1"/>
        <v>PASS</v>
      </c>
      <c r="I8" s="11" t="str">
        <f t="shared" si="2"/>
        <v>FAIL</v>
      </c>
      <c r="J8" s="11" t="str">
        <f t="shared" si="3"/>
        <v>YELLOW - Single Risk</v>
      </c>
      <c r="R8">
        <f t="shared" si="4"/>
        <v>32.500006999999997</v>
      </c>
    </row>
    <row r="9" spans="1:18" x14ac:dyDescent="0.3">
      <c r="A9" s="11">
        <v>1008</v>
      </c>
      <c r="B9" s="11" t="s">
        <v>38</v>
      </c>
      <c r="C9" s="11">
        <v>60</v>
      </c>
      <c r="D9" s="11">
        <v>90</v>
      </c>
      <c r="E9" s="11">
        <v>87</v>
      </c>
      <c r="F9" s="12">
        <f t="shared" si="0"/>
        <v>79</v>
      </c>
      <c r="G9" s="13">
        <v>43.9</v>
      </c>
      <c r="H9" s="11" t="str">
        <f t="shared" si="1"/>
        <v>PASS</v>
      </c>
      <c r="I9" s="11" t="str">
        <f t="shared" si="2"/>
        <v>FAIL</v>
      </c>
      <c r="J9" s="11" t="str">
        <f t="shared" si="3"/>
        <v>YELLOW - Single Risk</v>
      </c>
      <c r="R9">
        <f t="shared" si="4"/>
        <v>31.100008000000003</v>
      </c>
    </row>
    <row r="10" spans="1:18" x14ac:dyDescent="0.3">
      <c r="A10" s="11">
        <v>1009</v>
      </c>
      <c r="B10" s="11" t="s">
        <v>39</v>
      </c>
      <c r="C10" s="11">
        <v>92</v>
      </c>
      <c r="D10" s="11">
        <v>82</v>
      </c>
      <c r="E10" s="11">
        <v>97</v>
      </c>
      <c r="F10" s="12">
        <f t="shared" si="0"/>
        <v>90.3</v>
      </c>
      <c r="G10" s="13">
        <v>94.8</v>
      </c>
      <c r="H10" s="11" t="str">
        <f t="shared" si="1"/>
        <v>PASS</v>
      </c>
      <c r="I10" s="11" t="str">
        <f t="shared" si="2"/>
        <v>PASS</v>
      </c>
      <c r="J10" s="11" t="str">
        <f t="shared" si="3"/>
        <v>GREEN - Satisfactory</v>
      </c>
      <c r="R10">
        <f t="shared" si="4"/>
        <v>19.800008999999996</v>
      </c>
    </row>
    <row r="11" spans="1:18" x14ac:dyDescent="0.3">
      <c r="A11" s="11">
        <v>1010</v>
      </c>
      <c r="B11" s="11" t="s">
        <v>40</v>
      </c>
      <c r="C11" s="11">
        <v>62</v>
      </c>
      <c r="D11" s="11">
        <v>77</v>
      </c>
      <c r="E11" s="11">
        <v>95</v>
      </c>
      <c r="F11" s="12">
        <f t="shared" si="0"/>
        <v>78</v>
      </c>
      <c r="G11" s="13">
        <v>50.1</v>
      </c>
      <c r="H11" s="11" t="str">
        <f t="shared" si="1"/>
        <v>PASS</v>
      </c>
      <c r="I11" s="11" t="str">
        <f t="shared" si="2"/>
        <v>FAIL</v>
      </c>
      <c r="J11" s="11" t="str">
        <f t="shared" si="3"/>
        <v>YELLOW - Single Risk</v>
      </c>
      <c r="R11">
        <f t="shared" si="4"/>
        <v>24.900009999999998</v>
      </c>
    </row>
    <row r="12" spans="1:18" x14ac:dyDescent="0.3">
      <c r="A12" s="11">
        <v>1011</v>
      </c>
      <c r="B12" s="11" t="s">
        <v>41</v>
      </c>
      <c r="C12" s="11">
        <v>41</v>
      </c>
      <c r="D12" s="11">
        <v>37</v>
      </c>
      <c r="E12" s="11">
        <v>48</v>
      </c>
      <c r="F12" s="12">
        <f t="shared" si="0"/>
        <v>42</v>
      </c>
      <c r="G12" s="13">
        <v>72</v>
      </c>
      <c r="H12" s="11" t="str">
        <f t="shared" si="1"/>
        <v>FAIL</v>
      </c>
      <c r="I12" s="11" t="str">
        <f t="shared" si="2"/>
        <v>FAIL</v>
      </c>
      <c r="J12" s="11" t="str">
        <f t="shared" si="3"/>
        <v>RED - Dual Risk</v>
      </c>
      <c r="R12">
        <f t="shared" si="4"/>
        <v>3.0000110000000002</v>
      </c>
    </row>
    <row r="13" spans="1:18" x14ac:dyDescent="0.3">
      <c r="A13" s="11">
        <v>1012</v>
      </c>
      <c r="B13" s="11" t="s">
        <v>42</v>
      </c>
      <c r="C13" s="11">
        <v>89</v>
      </c>
      <c r="D13" s="11">
        <v>61</v>
      </c>
      <c r="E13" s="11">
        <v>71</v>
      </c>
      <c r="F13" s="12">
        <f t="shared" si="0"/>
        <v>73.7</v>
      </c>
      <c r="G13" s="13">
        <v>89.3</v>
      </c>
      <c r="H13" s="11" t="str">
        <f t="shared" si="1"/>
        <v>PASS</v>
      </c>
      <c r="I13" s="11" t="str">
        <f t="shared" si="2"/>
        <v>PASS</v>
      </c>
      <c r="J13" s="11" t="str">
        <f t="shared" si="3"/>
        <v>GREEN - Satisfactory</v>
      </c>
      <c r="R13">
        <f t="shared" si="4"/>
        <v>14.300011999999997</v>
      </c>
    </row>
    <row r="14" spans="1:18" x14ac:dyDescent="0.3">
      <c r="A14" s="11">
        <v>1013</v>
      </c>
      <c r="B14" s="11" t="s">
        <v>43</v>
      </c>
      <c r="C14" s="11">
        <v>99</v>
      </c>
      <c r="D14" s="11">
        <v>95</v>
      </c>
      <c r="E14" s="11">
        <v>65</v>
      </c>
      <c r="F14" s="12">
        <f t="shared" si="0"/>
        <v>86.3</v>
      </c>
      <c r="G14" s="13">
        <v>73.400000000000006</v>
      </c>
      <c r="H14" s="11" t="str">
        <f t="shared" si="1"/>
        <v>PASS</v>
      </c>
      <c r="I14" s="11" t="str">
        <f t="shared" si="2"/>
        <v>FAIL</v>
      </c>
      <c r="J14" s="11" t="str">
        <f t="shared" si="3"/>
        <v>YELLOW - Single Risk</v>
      </c>
      <c r="R14">
        <f t="shared" si="4"/>
        <v>1.6000129999999944</v>
      </c>
    </row>
    <row r="15" spans="1:18" x14ac:dyDescent="0.3">
      <c r="A15" s="11">
        <v>1014</v>
      </c>
      <c r="B15" s="11" t="s">
        <v>44</v>
      </c>
      <c r="C15" s="11">
        <v>87</v>
      </c>
      <c r="D15" s="11">
        <v>66</v>
      </c>
      <c r="E15" s="11">
        <v>76</v>
      </c>
      <c r="F15" s="12">
        <f t="shared" si="0"/>
        <v>76.3</v>
      </c>
      <c r="G15" s="13">
        <v>78</v>
      </c>
      <c r="H15" s="11" t="str">
        <f t="shared" si="1"/>
        <v>PASS</v>
      </c>
      <c r="I15" s="11" t="str">
        <f t="shared" si="2"/>
        <v>PASS</v>
      </c>
      <c r="J15" s="11" t="str">
        <f t="shared" si="3"/>
        <v>GREEN - Satisfactory</v>
      </c>
      <c r="R15">
        <f t="shared" si="4"/>
        <v>3.0000140000000002</v>
      </c>
    </row>
    <row r="16" spans="1:18" x14ac:dyDescent="0.3">
      <c r="A16" s="11">
        <v>1015</v>
      </c>
      <c r="B16" s="11" t="s">
        <v>45</v>
      </c>
      <c r="C16" s="11">
        <v>68</v>
      </c>
      <c r="D16" s="11">
        <v>74</v>
      </c>
      <c r="E16" s="11">
        <v>70</v>
      </c>
      <c r="F16" s="12">
        <f t="shared" si="0"/>
        <v>70.7</v>
      </c>
      <c r="G16" s="13">
        <v>53.9</v>
      </c>
      <c r="H16" s="11" t="str">
        <f t="shared" si="1"/>
        <v>PASS</v>
      </c>
      <c r="I16" s="11" t="str">
        <f t="shared" si="2"/>
        <v>FAIL</v>
      </c>
      <c r="J16" s="11" t="str">
        <f t="shared" si="3"/>
        <v>YELLOW - Single Risk</v>
      </c>
      <c r="R16">
        <f t="shared" si="4"/>
        <v>21.100015000000003</v>
      </c>
    </row>
    <row r="17" spans="1:18" x14ac:dyDescent="0.3">
      <c r="A17" s="11">
        <v>1016</v>
      </c>
      <c r="B17" s="11" t="s">
        <v>46</v>
      </c>
      <c r="C17" s="11">
        <v>72</v>
      </c>
      <c r="D17" s="11">
        <v>76</v>
      </c>
      <c r="E17" s="11">
        <v>90</v>
      </c>
      <c r="F17" s="12">
        <f t="shared" si="0"/>
        <v>79.3</v>
      </c>
      <c r="G17" s="13">
        <v>91.8</v>
      </c>
      <c r="H17" s="11" t="str">
        <f t="shared" si="1"/>
        <v>PASS</v>
      </c>
      <c r="I17" s="11" t="str">
        <f t="shared" si="2"/>
        <v>PASS</v>
      </c>
      <c r="J17" s="11" t="str">
        <f t="shared" si="3"/>
        <v>GREEN - Satisfactory</v>
      </c>
      <c r="R17">
        <f t="shared" si="4"/>
        <v>16.800015999999996</v>
      </c>
    </row>
    <row r="18" spans="1:18" x14ac:dyDescent="0.3">
      <c r="A18" s="11">
        <v>1017</v>
      </c>
      <c r="B18" s="11" t="s">
        <v>47</v>
      </c>
      <c r="C18" s="11">
        <v>86</v>
      </c>
      <c r="D18" s="11">
        <v>64</v>
      </c>
      <c r="E18" s="11">
        <v>66</v>
      </c>
      <c r="F18" s="12">
        <f t="shared" si="0"/>
        <v>72</v>
      </c>
      <c r="G18" s="13">
        <v>77.3</v>
      </c>
      <c r="H18" s="11" t="str">
        <f t="shared" si="1"/>
        <v>PASS</v>
      </c>
      <c r="I18" s="11" t="str">
        <f t="shared" si="2"/>
        <v>PASS</v>
      </c>
      <c r="J18" s="11" t="str">
        <f t="shared" si="3"/>
        <v>GREEN - Satisfactory</v>
      </c>
      <c r="R18">
        <f t="shared" si="4"/>
        <v>2.3000169999999973</v>
      </c>
    </row>
    <row r="19" spans="1:18" x14ac:dyDescent="0.3">
      <c r="A19" s="11">
        <v>1018</v>
      </c>
      <c r="B19" s="11" t="s">
        <v>48</v>
      </c>
      <c r="C19" s="11">
        <v>86</v>
      </c>
      <c r="D19" s="11">
        <v>68</v>
      </c>
      <c r="E19" s="11">
        <v>93</v>
      </c>
      <c r="F19" s="12">
        <f t="shared" si="0"/>
        <v>82.3</v>
      </c>
      <c r="G19" s="13">
        <v>67</v>
      </c>
      <c r="H19" s="11" t="str">
        <f t="shared" si="1"/>
        <v>PASS</v>
      </c>
      <c r="I19" s="11" t="str">
        <f t="shared" si="2"/>
        <v>FAIL</v>
      </c>
      <c r="J19" s="11" t="str">
        <f t="shared" si="3"/>
        <v>YELLOW - Single Risk</v>
      </c>
      <c r="R19">
        <f t="shared" si="4"/>
        <v>8.0000180000000007</v>
      </c>
    </row>
    <row r="20" spans="1:18" x14ac:dyDescent="0.3">
      <c r="A20" s="11">
        <v>1019</v>
      </c>
      <c r="B20" s="11" t="s">
        <v>49</v>
      </c>
      <c r="C20" s="11">
        <v>53</v>
      </c>
      <c r="D20" s="11">
        <v>48</v>
      </c>
      <c r="E20" s="11">
        <v>38</v>
      </c>
      <c r="F20" s="12">
        <f t="shared" si="0"/>
        <v>46.3</v>
      </c>
      <c r="G20" s="13">
        <v>86.4</v>
      </c>
      <c r="H20" s="11" t="str">
        <f t="shared" si="1"/>
        <v>FAIL</v>
      </c>
      <c r="I20" s="11" t="str">
        <f t="shared" si="2"/>
        <v>PASS</v>
      </c>
      <c r="J20" s="11" t="str">
        <f t="shared" si="3"/>
        <v>YELLOW - Single Risk</v>
      </c>
      <c r="R20">
        <f t="shared" si="4"/>
        <v>11.400019000000006</v>
      </c>
    </row>
    <row r="21" spans="1:18" x14ac:dyDescent="0.3">
      <c r="A21" s="11">
        <v>1020</v>
      </c>
      <c r="B21" s="11" t="s">
        <v>50</v>
      </c>
      <c r="C21" s="11">
        <v>67</v>
      </c>
      <c r="D21" s="11">
        <v>96</v>
      </c>
      <c r="E21" s="11">
        <v>89</v>
      </c>
      <c r="F21" s="12">
        <f t="shared" si="0"/>
        <v>84</v>
      </c>
      <c r="G21" s="13">
        <v>63.3</v>
      </c>
      <c r="H21" s="11" t="str">
        <f t="shared" si="1"/>
        <v>PASS</v>
      </c>
      <c r="I21" s="11" t="str">
        <f t="shared" si="2"/>
        <v>FAIL</v>
      </c>
      <c r="J21" s="11" t="str">
        <f t="shared" si="3"/>
        <v>YELLOW - Single Risk</v>
      </c>
      <c r="R21">
        <f t="shared" si="4"/>
        <v>11.700020000000002</v>
      </c>
    </row>
    <row r="22" spans="1:18" x14ac:dyDescent="0.3">
      <c r="A22" s="11">
        <v>1021</v>
      </c>
      <c r="B22" s="11" t="s">
        <v>51</v>
      </c>
      <c r="C22" s="11">
        <v>90</v>
      </c>
      <c r="D22" s="11">
        <v>90</v>
      </c>
      <c r="E22" s="11">
        <v>93</v>
      </c>
      <c r="F22" s="12">
        <f t="shared" si="0"/>
        <v>91</v>
      </c>
      <c r="G22" s="13">
        <v>70.3</v>
      </c>
      <c r="H22" s="11" t="str">
        <f t="shared" si="1"/>
        <v>PASS</v>
      </c>
      <c r="I22" s="11" t="str">
        <f t="shared" si="2"/>
        <v>FAIL</v>
      </c>
      <c r="J22" s="11" t="str">
        <f t="shared" si="3"/>
        <v>YELLOW - Single Risk</v>
      </c>
      <c r="R22">
        <f t="shared" si="4"/>
        <v>4.7000210000000031</v>
      </c>
    </row>
    <row r="23" spans="1:18" x14ac:dyDescent="0.3">
      <c r="A23" s="11">
        <v>1022</v>
      </c>
      <c r="B23" s="11" t="s">
        <v>52</v>
      </c>
      <c r="C23" s="11">
        <v>55</v>
      </c>
      <c r="D23" s="11">
        <v>40</v>
      </c>
      <c r="E23" s="11">
        <v>34</v>
      </c>
      <c r="F23" s="12">
        <f t="shared" si="0"/>
        <v>43</v>
      </c>
      <c r="G23" s="13">
        <v>58.8</v>
      </c>
      <c r="H23" s="11" t="str">
        <f t="shared" si="1"/>
        <v>FAIL</v>
      </c>
      <c r="I23" s="11" t="str">
        <f t="shared" si="2"/>
        <v>FAIL</v>
      </c>
      <c r="J23" s="11" t="str">
        <f t="shared" si="3"/>
        <v>RED - Dual Risk</v>
      </c>
      <c r="R23">
        <f t="shared" si="4"/>
        <v>16.200022000000004</v>
      </c>
    </row>
    <row r="24" spans="1:18" x14ac:dyDescent="0.3">
      <c r="A24" s="11">
        <v>1023</v>
      </c>
      <c r="B24" s="11" t="s">
        <v>53</v>
      </c>
      <c r="C24" s="11">
        <v>90</v>
      </c>
      <c r="D24" s="11">
        <v>87</v>
      </c>
      <c r="E24" s="11">
        <v>77</v>
      </c>
      <c r="F24" s="12">
        <f t="shared" si="0"/>
        <v>84.7</v>
      </c>
      <c r="G24" s="13">
        <v>84.1</v>
      </c>
      <c r="H24" s="11" t="str">
        <f t="shared" si="1"/>
        <v>PASS</v>
      </c>
      <c r="I24" s="11" t="str">
        <f t="shared" si="2"/>
        <v>PASS</v>
      </c>
      <c r="J24" s="11" t="str">
        <f t="shared" si="3"/>
        <v>GREEN - Satisfactory</v>
      </c>
      <c r="R24">
        <f t="shared" si="4"/>
        <v>9.1000229999999949</v>
      </c>
    </row>
    <row r="25" spans="1:18" x14ac:dyDescent="0.3">
      <c r="A25" s="11">
        <v>1024</v>
      </c>
      <c r="B25" s="11" t="s">
        <v>54</v>
      </c>
      <c r="C25" s="11">
        <v>88</v>
      </c>
      <c r="D25" s="11">
        <v>83</v>
      </c>
      <c r="E25" s="11">
        <v>83</v>
      </c>
      <c r="F25" s="12">
        <f t="shared" si="0"/>
        <v>84.7</v>
      </c>
      <c r="G25" s="13">
        <v>87.5</v>
      </c>
      <c r="H25" s="11" t="str">
        <f t="shared" si="1"/>
        <v>PASS</v>
      </c>
      <c r="I25" s="11" t="str">
        <f t="shared" si="2"/>
        <v>PASS</v>
      </c>
      <c r="J25" s="11" t="str">
        <f t="shared" si="3"/>
        <v>GREEN - Satisfactory</v>
      </c>
      <c r="R25">
        <f t="shared" si="4"/>
        <v>12.500024</v>
      </c>
    </row>
    <row r="26" spans="1:18" x14ac:dyDescent="0.3">
      <c r="A26" s="11">
        <v>1025</v>
      </c>
      <c r="B26" s="11" t="s">
        <v>55</v>
      </c>
      <c r="C26" s="11">
        <v>62</v>
      </c>
      <c r="D26" s="11">
        <v>87</v>
      </c>
      <c r="E26" s="11">
        <v>97</v>
      </c>
      <c r="F26" s="12">
        <f t="shared" si="0"/>
        <v>82</v>
      </c>
      <c r="G26" s="13">
        <v>98.1</v>
      </c>
      <c r="H26" s="11" t="str">
        <f t="shared" si="1"/>
        <v>PASS</v>
      </c>
      <c r="I26" s="11" t="str">
        <f t="shared" si="2"/>
        <v>PASS</v>
      </c>
      <c r="J26" s="11" t="str">
        <f t="shared" si="3"/>
        <v>GREEN - Satisfactory</v>
      </c>
      <c r="R26">
        <f t="shared" si="4"/>
        <v>23.100024999999995</v>
      </c>
    </row>
    <row r="27" spans="1:18" x14ac:dyDescent="0.3">
      <c r="A27" s="11">
        <v>1026</v>
      </c>
      <c r="B27" s="11" t="s">
        <v>56</v>
      </c>
      <c r="C27" s="11">
        <v>92</v>
      </c>
      <c r="D27" s="11">
        <v>62</v>
      </c>
      <c r="E27" s="11">
        <v>69</v>
      </c>
      <c r="F27" s="12">
        <f t="shared" si="0"/>
        <v>74.3</v>
      </c>
      <c r="G27" s="13">
        <v>59.9</v>
      </c>
      <c r="H27" s="11" t="str">
        <f t="shared" si="1"/>
        <v>PASS</v>
      </c>
      <c r="I27" s="11" t="str">
        <f t="shared" si="2"/>
        <v>FAIL</v>
      </c>
      <c r="J27" s="11" t="str">
        <f t="shared" si="3"/>
        <v>YELLOW - Single Risk</v>
      </c>
      <c r="R27">
        <f t="shared" si="4"/>
        <v>15.100026000000002</v>
      </c>
    </row>
    <row r="28" spans="1:18" x14ac:dyDescent="0.3">
      <c r="A28" s="11">
        <v>1027</v>
      </c>
      <c r="B28" s="11" t="s">
        <v>57</v>
      </c>
      <c r="C28" s="11">
        <v>62</v>
      </c>
      <c r="D28" s="11">
        <v>91</v>
      </c>
      <c r="E28" s="11">
        <v>60</v>
      </c>
      <c r="F28" s="12">
        <f t="shared" si="0"/>
        <v>71</v>
      </c>
      <c r="G28" s="13">
        <v>46.4</v>
      </c>
      <c r="H28" s="11" t="str">
        <f t="shared" si="1"/>
        <v>PASS</v>
      </c>
      <c r="I28" s="11" t="str">
        <f t="shared" si="2"/>
        <v>FAIL</v>
      </c>
      <c r="J28" s="11" t="str">
        <f t="shared" si="3"/>
        <v>YELLOW - Single Risk</v>
      </c>
      <c r="R28">
        <f t="shared" si="4"/>
        <v>28.600027000000001</v>
      </c>
    </row>
    <row r="29" spans="1:18" x14ac:dyDescent="0.3">
      <c r="A29" s="11">
        <v>1028</v>
      </c>
      <c r="B29" s="11" t="s">
        <v>58</v>
      </c>
      <c r="C29" s="11">
        <v>96</v>
      </c>
      <c r="D29" s="11">
        <v>97</v>
      </c>
      <c r="E29" s="11">
        <v>60</v>
      </c>
      <c r="F29" s="12">
        <f t="shared" si="0"/>
        <v>84.3</v>
      </c>
      <c r="G29" s="13">
        <v>76.900000000000006</v>
      </c>
      <c r="H29" s="11" t="str">
        <f t="shared" si="1"/>
        <v>PASS</v>
      </c>
      <c r="I29" s="11" t="str">
        <f t="shared" si="2"/>
        <v>PASS</v>
      </c>
      <c r="J29" s="11" t="str">
        <f t="shared" si="3"/>
        <v>GREEN - Satisfactory</v>
      </c>
      <c r="R29">
        <f t="shared" si="4"/>
        <v>1.9000280000000056</v>
      </c>
    </row>
    <row r="30" spans="1:18" x14ac:dyDescent="0.3">
      <c r="A30" s="11">
        <v>1029</v>
      </c>
      <c r="B30" s="11" t="s">
        <v>59</v>
      </c>
      <c r="C30" s="11">
        <v>93</v>
      </c>
      <c r="D30" s="11">
        <v>97</v>
      </c>
      <c r="E30" s="11">
        <v>62</v>
      </c>
      <c r="F30" s="12">
        <f t="shared" si="0"/>
        <v>84</v>
      </c>
      <c r="G30" s="13">
        <v>97.1</v>
      </c>
      <c r="H30" s="11" t="str">
        <f t="shared" si="1"/>
        <v>PASS</v>
      </c>
      <c r="I30" s="11" t="str">
        <f t="shared" si="2"/>
        <v>PASS</v>
      </c>
      <c r="J30" s="11" t="str">
        <f t="shared" si="3"/>
        <v>GREEN - Satisfactory</v>
      </c>
      <c r="R30">
        <f t="shared" si="4"/>
        <v>22.100028999999996</v>
      </c>
    </row>
    <row r="31" spans="1:18" x14ac:dyDescent="0.3">
      <c r="A31" s="11">
        <v>1030</v>
      </c>
      <c r="B31" s="11" t="s">
        <v>60</v>
      </c>
      <c r="C31" s="11">
        <v>60</v>
      </c>
      <c r="D31" s="11">
        <v>75</v>
      </c>
      <c r="E31" s="11">
        <v>66</v>
      </c>
      <c r="F31" s="12">
        <f t="shared" si="0"/>
        <v>67</v>
      </c>
      <c r="G31" s="13">
        <v>90.7</v>
      </c>
      <c r="H31" s="11" t="str">
        <f t="shared" si="1"/>
        <v>PASS</v>
      </c>
      <c r="I31" s="11" t="str">
        <f t="shared" si="2"/>
        <v>PASS</v>
      </c>
      <c r="J31" s="11" t="str">
        <f t="shared" si="3"/>
        <v>GREEN - Satisfactory</v>
      </c>
      <c r="R31">
        <f t="shared" si="4"/>
        <v>15.700030000000003</v>
      </c>
    </row>
    <row r="32" spans="1:18" x14ac:dyDescent="0.3">
      <c r="A32" s="11">
        <v>1031</v>
      </c>
      <c r="B32" s="11" t="s">
        <v>61</v>
      </c>
      <c r="C32" s="11">
        <v>81</v>
      </c>
      <c r="D32" s="11">
        <v>62</v>
      </c>
      <c r="E32" s="11">
        <v>67</v>
      </c>
      <c r="F32" s="12">
        <f t="shared" si="0"/>
        <v>70</v>
      </c>
      <c r="G32" s="13">
        <v>61.3</v>
      </c>
      <c r="H32" s="11" t="str">
        <f t="shared" si="1"/>
        <v>PASS</v>
      </c>
      <c r="I32" s="11" t="str">
        <f t="shared" si="2"/>
        <v>FAIL</v>
      </c>
      <c r="J32" s="11" t="str">
        <f t="shared" si="3"/>
        <v>YELLOW - Single Risk</v>
      </c>
      <c r="R32">
        <f t="shared" si="4"/>
        <v>13.700031000000003</v>
      </c>
    </row>
    <row r="33" spans="1:18" x14ac:dyDescent="0.3">
      <c r="A33" s="11">
        <v>1032</v>
      </c>
      <c r="B33" s="11" t="s">
        <v>62</v>
      </c>
      <c r="C33" s="11">
        <v>87</v>
      </c>
      <c r="D33" s="11">
        <v>91</v>
      </c>
      <c r="E33" s="11">
        <v>75</v>
      </c>
      <c r="F33" s="12">
        <f t="shared" si="0"/>
        <v>84.3</v>
      </c>
      <c r="G33" s="13">
        <v>75.099999999999994</v>
      </c>
      <c r="H33" s="11" t="str">
        <f t="shared" si="1"/>
        <v>PASS</v>
      </c>
      <c r="I33" s="11" t="str">
        <f t="shared" si="2"/>
        <v>PASS</v>
      </c>
      <c r="J33" s="11" t="str">
        <f t="shared" si="3"/>
        <v>GREEN - Satisfactory</v>
      </c>
      <c r="R33">
        <f t="shared" si="4"/>
        <v>0.10003199999999432</v>
      </c>
    </row>
    <row r="34" spans="1:18" x14ac:dyDescent="0.3">
      <c r="A34" s="11">
        <v>1033</v>
      </c>
      <c r="B34" s="11" t="s">
        <v>63</v>
      </c>
      <c r="C34" s="11">
        <v>60</v>
      </c>
      <c r="D34" s="11">
        <v>91</v>
      </c>
      <c r="E34" s="11">
        <v>60</v>
      </c>
      <c r="F34" s="12">
        <f t="shared" si="0"/>
        <v>70.3</v>
      </c>
      <c r="G34" s="13">
        <v>86.5</v>
      </c>
      <c r="H34" s="11" t="str">
        <f t="shared" si="1"/>
        <v>PASS</v>
      </c>
      <c r="I34" s="11" t="str">
        <f t="shared" si="2"/>
        <v>PASS</v>
      </c>
      <c r="J34" s="11" t="str">
        <f t="shared" si="3"/>
        <v>GREEN - Satisfactory</v>
      </c>
      <c r="R34">
        <f t="shared" si="4"/>
        <v>11.500033</v>
      </c>
    </row>
    <row r="35" spans="1:18" x14ac:dyDescent="0.3">
      <c r="A35" s="11">
        <v>1034</v>
      </c>
      <c r="B35" s="11" t="s">
        <v>64</v>
      </c>
      <c r="C35" s="11">
        <v>34</v>
      </c>
      <c r="D35" s="11">
        <v>35</v>
      </c>
      <c r="E35" s="11">
        <v>57</v>
      </c>
      <c r="F35" s="12">
        <f t="shared" si="0"/>
        <v>42</v>
      </c>
      <c r="G35" s="13">
        <v>71</v>
      </c>
      <c r="H35" s="11" t="str">
        <f t="shared" si="1"/>
        <v>FAIL</v>
      </c>
      <c r="I35" s="11" t="str">
        <f t="shared" si="2"/>
        <v>FAIL</v>
      </c>
      <c r="J35" s="11" t="str">
        <f t="shared" si="3"/>
        <v>RED - Dual Risk</v>
      </c>
      <c r="R35">
        <f t="shared" si="4"/>
        <v>4.0000340000000003</v>
      </c>
    </row>
    <row r="36" spans="1:18" x14ac:dyDescent="0.3">
      <c r="A36" s="11">
        <v>1035</v>
      </c>
      <c r="B36" s="11" t="s">
        <v>65</v>
      </c>
      <c r="C36" s="11">
        <v>96</v>
      </c>
      <c r="D36" s="11">
        <v>85</v>
      </c>
      <c r="E36" s="11">
        <v>61</v>
      </c>
      <c r="F36" s="12">
        <f t="shared" si="0"/>
        <v>80.7</v>
      </c>
      <c r="G36" s="13">
        <v>81.599999999999994</v>
      </c>
      <c r="H36" s="11" t="str">
        <f t="shared" si="1"/>
        <v>PASS</v>
      </c>
      <c r="I36" s="11" t="str">
        <f t="shared" si="2"/>
        <v>PASS</v>
      </c>
      <c r="J36" s="11" t="str">
        <f t="shared" si="3"/>
        <v>GREEN - Satisfactory</v>
      </c>
      <c r="R36">
        <f t="shared" si="4"/>
        <v>6.6000349999999939</v>
      </c>
    </row>
    <row r="37" spans="1:18" x14ac:dyDescent="0.3">
      <c r="A37" s="11">
        <v>1036</v>
      </c>
      <c r="B37" s="11" t="s">
        <v>66</v>
      </c>
      <c r="C37" s="11">
        <v>95</v>
      </c>
      <c r="D37" s="11">
        <v>90</v>
      </c>
      <c r="E37" s="11">
        <v>76</v>
      </c>
      <c r="F37" s="12">
        <f t="shared" si="0"/>
        <v>87</v>
      </c>
      <c r="G37" s="13">
        <v>77.099999999999994</v>
      </c>
      <c r="H37" s="11" t="str">
        <f t="shared" si="1"/>
        <v>PASS</v>
      </c>
      <c r="I37" s="11" t="str">
        <f t="shared" si="2"/>
        <v>PASS</v>
      </c>
      <c r="J37" s="11" t="str">
        <f t="shared" si="3"/>
        <v>GREEN - Satisfactory</v>
      </c>
      <c r="R37">
        <f t="shared" si="4"/>
        <v>2.1000359999999945</v>
      </c>
    </row>
    <row r="38" spans="1:18" x14ac:dyDescent="0.3">
      <c r="A38" s="11">
        <v>1037</v>
      </c>
      <c r="B38" s="11" t="s">
        <v>67</v>
      </c>
      <c r="C38" s="11">
        <v>49</v>
      </c>
      <c r="D38" s="11">
        <v>52</v>
      </c>
      <c r="E38" s="11">
        <v>53</v>
      </c>
      <c r="F38" s="12">
        <f t="shared" si="0"/>
        <v>51.3</v>
      </c>
      <c r="G38" s="13">
        <v>93.4</v>
      </c>
      <c r="H38" s="11" t="str">
        <f t="shared" si="1"/>
        <v>FAIL</v>
      </c>
      <c r="I38" s="11" t="str">
        <f t="shared" si="2"/>
        <v>PASS</v>
      </c>
      <c r="J38" s="11" t="str">
        <f t="shared" si="3"/>
        <v>YELLOW - Single Risk</v>
      </c>
      <c r="R38">
        <f t="shared" si="4"/>
        <v>18.400037000000005</v>
      </c>
    </row>
    <row r="39" spans="1:18" x14ac:dyDescent="0.3">
      <c r="A39" s="11">
        <v>1038</v>
      </c>
      <c r="B39" s="11" t="s">
        <v>68</v>
      </c>
      <c r="C39" s="11">
        <v>83</v>
      </c>
      <c r="D39" s="11">
        <v>87</v>
      </c>
      <c r="E39" s="11">
        <v>90</v>
      </c>
      <c r="F39" s="12">
        <f t="shared" si="0"/>
        <v>86.7</v>
      </c>
      <c r="G39" s="13">
        <v>73.3</v>
      </c>
      <c r="H39" s="11" t="str">
        <f t="shared" si="1"/>
        <v>PASS</v>
      </c>
      <c r="I39" s="11" t="str">
        <f t="shared" si="2"/>
        <v>FAIL</v>
      </c>
      <c r="J39" s="11" t="str">
        <f t="shared" si="3"/>
        <v>YELLOW - Single Risk</v>
      </c>
      <c r="R39">
        <f t="shared" si="4"/>
        <v>1.7000380000000028</v>
      </c>
    </row>
    <row r="40" spans="1:18" x14ac:dyDescent="0.3">
      <c r="A40" s="11">
        <v>1039</v>
      </c>
      <c r="B40" s="11" t="s">
        <v>69</v>
      </c>
      <c r="C40" s="11">
        <v>57</v>
      </c>
      <c r="D40" s="11">
        <v>48</v>
      </c>
      <c r="E40" s="11">
        <v>51</v>
      </c>
      <c r="F40" s="12">
        <f t="shared" si="0"/>
        <v>52</v>
      </c>
      <c r="G40" s="13">
        <v>83.9</v>
      </c>
      <c r="H40" s="11" t="str">
        <f t="shared" si="1"/>
        <v>FAIL</v>
      </c>
      <c r="I40" s="11" t="str">
        <f t="shared" si="2"/>
        <v>PASS</v>
      </c>
      <c r="J40" s="11" t="str">
        <f t="shared" si="3"/>
        <v>YELLOW - Single Risk</v>
      </c>
      <c r="R40">
        <f t="shared" si="4"/>
        <v>8.9000390000000049</v>
      </c>
    </row>
    <row r="41" spans="1:18" x14ac:dyDescent="0.3">
      <c r="A41" s="11">
        <v>1040</v>
      </c>
      <c r="B41" s="11" t="s">
        <v>70</v>
      </c>
      <c r="C41" s="11">
        <v>62</v>
      </c>
      <c r="D41" s="11">
        <v>86</v>
      </c>
      <c r="E41" s="11">
        <v>68</v>
      </c>
      <c r="F41" s="12">
        <f t="shared" si="0"/>
        <v>72</v>
      </c>
      <c r="G41" s="13">
        <v>86.1</v>
      </c>
      <c r="H41" s="11" t="str">
        <f t="shared" si="1"/>
        <v>PASS</v>
      </c>
      <c r="I41" s="11" t="str">
        <f t="shared" si="2"/>
        <v>PASS</v>
      </c>
      <c r="J41" s="11" t="str">
        <f t="shared" si="3"/>
        <v>GREEN - Satisfactory</v>
      </c>
      <c r="R41">
        <f t="shared" si="4"/>
        <v>11.100039999999995</v>
      </c>
    </row>
    <row r="42" spans="1:18" x14ac:dyDescent="0.3">
      <c r="A42" s="11">
        <v>1041</v>
      </c>
      <c r="B42" s="11" t="s">
        <v>71</v>
      </c>
      <c r="C42" s="11">
        <v>71</v>
      </c>
      <c r="D42" s="11">
        <v>99</v>
      </c>
      <c r="E42" s="11">
        <v>82</v>
      </c>
      <c r="F42" s="12">
        <f t="shared" si="0"/>
        <v>84</v>
      </c>
      <c r="G42" s="13">
        <v>93.9</v>
      </c>
      <c r="H42" s="11" t="str">
        <f t="shared" si="1"/>
        <v>PASS</v>
      </c>
      <c r="I42" s="11" t="str">
        <f t="shared" si="2"/>
        <v>PASS</v>
      </c>
      <c r="J42" s="11" t="str">
        <f t="shared" si="3"/>
        <v>GREEN - Satisfactory</v>
      </c>
      <c r="R42">
        <f t="shared" si="4"/>
        <v>18.900041000000005</v>
      </c>
    </row>
    <row r="43" spans="1:18" x14ac:dyDescent="0.3">
      <c r="A43" s="11">
        <v>1042</v>
      </c>
      <c r="B43" s="11" t="s">
        <v>72</v>
      </c>
      <c r="C43" s="11">
        <v>80</v>
      </c>
      <c r="D43" s="11">
        <v>70</v>
      </c>
      <c r="E43" s="11">
        <v>86</v>
      </c>
      <c r="F43" s="12">
        <f t="shared" si="0"/>
        <v>78.7</v>
      </c>
      <c r="G43" s="13">
        <v>89.8</v>
      </c>
      <c r="H43" s="11" t="str">
        <f t="shared" si="1"/>
        <v>PASS</v>
      </c>
      <c r="I43" s="11" t="str">
        <f t="shared" si="2"/>
        <v>PASS</v>
      </c>
      <c r="J43" s="11" t="str">
        <f t="shared" si="3"/>
        <v>GREEN - Satisfactory</v>
      </c>
      <c r="R43">
        <f t="shared" si="4"/>
        <v>14.800041999999998</v>
      </c>
    </row>
    <row r="44" spans="1:18" x14ac:dyDescent="0.3">
      <c r="A44" s="11">
        <v>1043</v>
      </c>
      <c r="B44" s="11" t="s">
        <v>73</v>
      </c>
      <c r="C44" s="11">
        <v>42</v>
      </c>
      <c r="D44" s="11">
        <v>33</v>
      </c>
      <c r="E44" s="11">
        <v>52</v>
      </c>
      <c r="F44" s="12">
        <f t="shared" si="0"/>
        <v>42.3</v>
      </c>
      <c r="G44" s="13">
        <v>57.7</v>
      </c>
      <c r="H44" s="11" t="str">
        <f t="shared" si="1"/>
        <v>FAIL</v>
      </c>
      <c r="I44" s="11" t="str">
        <f t="shared" si="2"/>
        <v>FAIL</v>
      </c>
      <c r="J44" s="11" t="str">
        <f t="shared" si="3"/>
        <v>RED - Dual Risk</v>
      </c>
      <c r="R44">
        <f t="shared" si="4"/>
        <v>17.300042999999999</v>
      </c>
    </row>
    <row r="45" spans="1:18" x14ac:dyDescent="0.3">
      <c r="A45" s="11">
        <v>1044</v>
      </c>
      <c r="B45" s="11" t="s">
        <v>74</v>
      </c>
      <c r="C45" s="11">
        <v>69</v>
      </c>
      <c r="D45" s="11">
        <v>97</v>
      </c>
      <c r="E45" s="11">
        <v>99</v>
      </c>
      <c r="F45" s="12">
        <f t="shared" si="0"/>
        <v>88.3</v>
      </c>
      <c r="G45" s="13">
        <v>81.900000000000006</v>
      </c>
      <c r="H45" s="11" t="str">
        <f t="shared" si="1"/>
        <v>PASS</v>
      </c>
      <c r="I45" s="11" t="str">
        <f t="shared" si="2"/>
        <v>PASS</v>
      </c>
      <c r="J45" s="11" t="str">
        <f t="shared" si="3"/>
        <v>GREEN - Satisfactory</v>
      </c>
      <c r="R45">
        <f t="shared" si="4"/>
        <v>6.9000440000000056</v>
      </c>
    </row>
    <row r="46" spans="1:18" x14ac:dyDescent="0.3">
      <c r="A46" s="11">
        <v>1045</v>
      </c>
      <c r="B46" s="11" t="s">
        <v>75</v>
      </c>
      <c r="C46" s="11">
        <v>30</v>
      </c>
      <c r="D46" s="11">
        <v>43</v>
      </c>
      <c r="E46" s="11">
        <v>47</v>
      </c>
      <c r="F46" s="12">
        <f t="shared" si="0"/>
        <v>40</v>
      </c>
      <c r="G46" s="13">
        <v>44.9</v>
      </c>
      <c r="H46" s="11" t="str">
        <f t="shared" si="1"/>
        <v>FAIL</v>
      </c>
      <c r="I46" s="11" t="str">
        <f t="shared" si="2"/>
        <v>FAIL</v>
      </c>
      <c r="J46" s="11" t="str">
        <f t="shared" si="3"/>
        <v>RED - Dual Risk</v>
      </c>
      <c r="R46">
        <f t="shared" si="4"/>
        <v>30.100045000000001</v>
      </c>
    </row>
  </sheetData>
  <conditionalFormatting sqref="J2:J46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92" customWidth="1"/>
  </cols>
  <sheetData>
    <row r="1" spans="1:1" ht="17.399999999999999" x14ac:dyDescent="0.3">
      <c r="A1" s="16" t="s">
        <v>77</v>
      </c>
    </row>
    <row r="2" spans="1:1" x14ac:dyDescent="0.3">
      <c r="A2" s="14"/>
    </row>
    <row r="3" spans="1:1" x14ac:dyDescent="0.3">
      <c r="A3" s="14" t="s">
        <v>83</v>
      </c>
    </row>
    <row r="4" spans="1:1" x14ac:dyDescent="0.3">
      <c r="A4" s="14"/>
    </row>
    <row r="5" spans="1:1" x14ac:dyDescent="0.3">
      <c r="A5" s="14" t="s">
        <v>76</v>
      </c>
    </row>
    <row r="6" spans="1:1" x14ac:dyDescent="0.3">
      <c r="A6" s="14"/>
    </row>
    <row r="7" spans="1:1" x14ac:dyDescent="0.3">
      <c r="A7" s="14" t="s">
        <v>78</v>
      </c>
    </row>
    <row r="8" spans="1:1" x14ac:dyDescent="0.3">
      <c r="A8" s="14" t="s">
        <v>79</v>
      </c>
    </row>
    <row r="9" spans="1:1" x14ac:dyDescent="0.3">
      <c r="A9" s="14"/>
    </row>
    <row r="10" spans="1:1" x14ac:dyDescent="0.3">
      <c r="A10" s="14" t="s">
        <v>80</v>
      </c>
    </row>
    <row r="11" spans="1:1" x14ac:dyDescent="0.3">
      <c r="A11" s="14" t="s">
        <v>81</v>
      </c>
    </row>
    <row r="12" spans="1:1" x14ac:dyDescent="0.3">
      <c r="A12" s="14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1</cp:revision>
  <dcterms:created xsi:type="dcterms:W3CDTF">2026-07-16T22:18:25Z</dcterms:created>
  <dcterms:modified xsi:type="dcterms:W3CDTF">2026-07-18T19:49:14Z</dcterms:modified>
  <dc:language>en-US</dc:language>
</cp:coreProperties>
</file>